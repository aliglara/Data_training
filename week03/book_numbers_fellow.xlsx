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glara/Documents/Trabajos/Data_training/week03/"/>
    </mc:Choice>
  </mc:AlternateContent>
  <xr:revisionPtr revIDLastSave="0" documentId="13_ncr:1_{16F1F3F6-B72F-3644-BC10-B321418343ED}" xr6:coauthVersionLast="47" xr6:coauthVersionMax="47" xr10:uidLastSave="{00000000-0000-0000-0000-000000000000}"/>
  <bookViews>
    <workbookView xWindow="-20" yWindow="500" windowWidth="28800" windowHeight="16280" tabRatio="500" xr2:uid="{00000000-000D-0000-FFFF-FFFF00000000}"/>
  </bookViews>
  <sheets>
    <sheet name="book data" sheetId="1" r:id="rId1"/>
    <sheet name="printing costs" sheetId="2" r:id="rId2"/>
    <sheet name="cover cost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" i="1" l="1"/>
  <c r="L4" i="1"/>
  <c r="L5" i="1"/>
  <c r="M5" i="1" s="1"/>
  <c r="N5" i="1" s="1"/>
  <c r="O5" i="1" s="1"/>
  <c r="L6" i="1"/>
  <c r="L7" i="1"/>
  <c r="L8" i="1"/>
  <c r="L9" i="1"/>
  <c r="M9" i="1" s="1"/>
  <c r="L10" i="1"/>
  <c r="M10" i="1" s="1"/>
  <c r="L11" i="1"/>
  <c r="L12" i="1"/>
  <c r="L13" i="1"/>
  <c r="L14" i="1"/>
  <c r="L15" i="1"/>
  <c r="M15" i="1" s="1"/>
  <c r="L16" i="1"/>
  <c r="M16" i="1" s="1"/>
  <c r="N16" i="1" s="1"/>
  <c r="O16" i="1" s="1"/>
  <c r="L17" i="1"/>
  <c r="M17" i="1" s="1"/>
  <c r="N17" i="1" s="1"/>
  <c r="O17" i="1" s="1"/>
  <c r="L18" i="1"/>
  <c r="M18" i="1" s="1"/>
  <c r="L19" i="1"/>
  <c r="L20" i="1"/>
  <c r="L21" i="1"/>
  <c r="M21" i="1" s="1"/>
  <c r="N21" i="1" s="1"/>
  <c r="O21" i="1" s="1"/>
  <c r="L2" i="1"/>
  <c r="M3" i="1"/>
  <c r="N3" i="1"/>
  <c r="O3" i="1" s="1"/>
  <c r="M4" i="1"/>
  <c r="N4" i="1"/>
  <c r="O4" i="1" s="1"/>
  <c r="M6" i="1"/>
  <c r="N6" i="1" s="1"/>
  <c r="O6" i="1" s="1"/>
  <c r="M7" i="1"/>
  <c r="N7" i="1"/>
  <c r="O7" i="1"/>
  <c r="M8" i="1"/>
  <c r="N8" i="1" s="1"/>
  <c r="O8" i="1" s="1"/>
  <c r="M11" i="1"/>
  <c r="N11" i="1"/>
  <c r="O11" i="1" s="1"/>
  <c r="M12" i="1"/>
  <c r="N12" i="1"/>
  <c r="O12" i="1"/>
  <c r="M13" i="1"/>
  <c r="N13" i="1"/>
  <c r="O13" i="1" s="1"/>
  <c r="M14" i="1"/>
  <c r="N14" i="1"/>
  <c r="O14" i="1" s="1"/>
  <c r="M19" i="1"/>
  <c r="N19" i="1"/>
  <c r="O19" i="1"/>
  <c r="M20" i="1"/>
  <c r="N20" i="1"/>
  <c r="O20" i="1" s="1"/>
  <c r="M2" i="1"/>
  <c r="N2" i="1"/>
  <c r="O2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N10" i="1" l="1"/>
  <c r="O10" i="1" s="1"/>
  <c r="N15" i="1"/>
  <c r="O15" i="1" s="1"/>
  <c r="N18" i="1"/>
  <c r="O18" i="1" s="1"/>
  <c r="N9" i="1"/>
  <c r="O9" i="1" s="1"/>
</calcChain>
</file>

<file path=xl/sharedStrings.xml><?xml version="1.0" encoding="utf-8"?>
<sst xmlns="http://schemas.openxmlformats.org/spreadsheetml/2006/main" count="123" uniqueCount="65">
  <si>
    <t>Book title</t>
  </si>
  <si>
    <t>Author</t>
  </si>
  <si>
    <t>Estimated page count</t>
  </si>
  <si>
    <t>Paper weight</t>
  </si>
  <si>
    <t>Cover type</t>
  </si>
  <si>
    <t>Interior pages</t>
  </si>
  <si>
    <t>Author's royalties per book sold</t>
  </si>
  <si>
    <t>Copies</t>
  </si>
  <si>
    <t>Estimated demand (% copies sold)</t>
  </si>
  <si>
    <t>Titan fading</t>
  </si>
  <si>
    <t>Christopher A. Kelly</t>
  </si>
  <si>
    <t>70 gsm</t>
  </si>
  <si>
    <t>Paperback</t>
  </si>
  <si>
    <t>BW</t>
  </si>
  <si>
    <t>The killer in the glass</t>
  </si>
  <si>
    <t>Madeline M. Rucker</t>
  </si>
  <si>
    <t>Bionic moon</t>
  </si>
  <si>
    <t>Suzanne R. Roberts</t>
  </si>
  <si>
    <t>The chase of the hound</t>
  </si>
  <si>
    <t>Mike C. Mercer</t>
  </si>
  <si>
    <t>Death of the invisible ferret</t>
  </si>
  <si>
    <t>Williams H. Lewis</t>
  </si>
  <si>
    <t>Poems at noon</t>
  </si>
  <si>
    <t>Joseph S. Rosborough</t>
  </si>
  <si>
    <t>The Shadowy Names</t>
  </si>
  <si>
    <t>Larry K. Granger</t>
  </si>
  <si>
    <t>Snake in the Way</t>
  </si>
  <si>
    <t>Juana A. Cole</t>
  </si>
  <si>
    <t>The Darkness of the Memory</t>
  </si>
  <si>
    <t>Lisa D. Wheeler</t>
  </si>
  <si>
    <t>Ships in the Moons</t>
  </si>
  <si>
    <t>Lucy T. McLaughlin</t>
  </si>
  <si>
    <t>Ice on the Window</t>
  </si>
  <si>
    <t>Carlos E. Millsap</t>
  </si>
  <si>
    <t>Lost shard</t>
  </si>
  <si>
    <t>Derek M. Gonzales</t>
  </si>
  <si>
    <t>The Roses of the Bridge</t>
  </si>
  <si>
    <t>Ann C. Willis</t>
  </si>
  <si>
    <t>Abandoned By The Armies</t>
  </si>
  <si>
    <t>Melanie H. Rose</t>
  </si>
  <si>
    <t>Broken Orbit</t>
  </si>
  <si>
    <t>Justin A. Gregg</t>
  </si>
  <si>
    <t>Stranger Of Nowhere</t>
  </si>
  <si>
    <t>Jared E. Fason</t>
  </si>
  <si>
    <t>Scourge Of The Outlands</t>
  </si>
  <si>
    <t>Raymond K. Hart</t>
  </si>
  <si>
    <t>Soldiers And Hunters</t>
  </si>
  <si>
    <t>Joan W. Harper</t>
  </si>
  <si>
    <t>Complexity Of The Depths</t>
  </si>
  <si>
    <t>Theola G. Gray</t>
  </si>
  <si>
    <t>Doom from Outer Space</t>
  </si>
  <si>
    <t>Sharon L. Wilson</t>
  </si>
  <si>
    <t>Weight (gsm)</t>
  </si>
  <si>
    <t>Cost per page BW</t>
  </si>
  <si>
    <t>Cost per page Color</t>
  </si>
  <si>
    <t>Type</t>
  </si>
  <si>
    <t>Cost</t>
  </si>
  <si>
    <t>Hardback</t>
  </si>
  <si>
    <t>Note: Costs don't vary depending on paper size as long as it is kept to A5, Letter, or a smaller size.</t>
  </si>
  <si>
    <t>Printing cost</t>
  </si>
  <si>
    <t>Printing + Cover cost</t>
  </si>
  <si>
    <t>Printing + Cover cost + Royalties</t>
  </si>
  <si>
    <t>Publisher Markup</t>
  </si>
  <si>
    <t>Discount Price</t>
  </si>
  <si>
    <t>MSRP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</si>
</sst>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" fontId="0" fillId="0" borderId="0" xfId="0" applyNumberFormat="1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topLeftCell="J1" zoomScale="166" zoomScaleNormal="166" workbookViewId="0">
      <selection activeCell="P2" sqref="P2"/>
    </sheetView>
  </sheetViews>
  <sheetFormatPr baseColWidth="10" defaultColWidth="19.6640625" defaultRowHeight="15" x14ac:dyDescent="0.2"/>
  <cols>
    <col min="1010" max="1024" width="11.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</row>
    <row r="2" spans="1:15" x14ac:dyDescent="0.2">
      <c r="A2" t="s">
        <v>9</v>
      </c>
      <c r="B2" t="s">
        <v>10</v>
      </c>
      <c r="C2">
        <v>433</v>
      </c>
      <c r="D2" t="s">
        <v>11</v>
      </c>
      <c r="E2" t="s">
        <v>12</v>
      </c>
      <c r="F2" t="s">
        <v>13</v>
      </c>
      <c r="G2" s="2">
        <v>2.2000000000000002</v>
      </c>
      <c r="H2" s="3">
        <v>310</v>
      </c>
      <c r="I2" s="4">
        <v>0.84</v>
      </c>
      <c r="J2">
        <f>C2*'printing costs'!$B$2</f>
        <v>7.7939999999999996</v>
      </c>
      <c r="K2">
        <f>J2+'cover costs'!$B$3</f>
        <v>9.7940000000000005</v>
      </c>
      <c r="L2" s="2">
        <f>K2+G2</f>
        <v>11.994</v>
      </c>
      <c r="M2">
        <f>L2*0.35</f>
        <v>4.1978999999999997</v>
      </c>
      <c r="N2">
        <f>L2+M2</f>
        <v>16.1919</v>
      </c>
      <c r="O2">
        <f>N2/0.6</f>
        <v>26.986500000000003</v>
      </c>
    </row>
    <row r="3" spans="1:15" x14ac:dyDescent="0.2">
      <c r="A3" t="s">
        <v>14</v>
      </c>
      <c r="B3" t="s">
        <v>15</v>
      </c>
      <c r="C3">
        <v>380</v>
      </c>
      <c r="D3" t="s">
        <v>11</v>
      </c>
      <c r="E3" t="s">
        <v>12</v>
      </c>
      <c r="F3" t="s">
        <v>13</v>
      </c>
      <c r="G3" s="2">
        <v>2</v>
      </c>
      <c r="H3" s="3">
        <v>300</v>
      </c>
      <c r="I3" s="4">
        <v>0.87</v>
      </c>
      <c r="J3">
        <f>C3*'printing costs'!$B$2</f>
        <v>6.84</v>
      </c>
      <c r="K3">
        <f>J3+'cover costs'!$B$3</f>
        <v>8.84</v>
      </c>
      <c r="L3" s="2">
        <f t="shared" ref="L3:L21" si="0">K3+G3</f>
        <v>10.84</v>
      </c>
      <c r="M3">
        <f t="shared" ref="M3:M21" si="1">L3*0.35</f>
        <v>3.7939999999999996</v>
      </c>
      <c r="N3">
        <f t="shared" ref="N3:N21" si="2">L3+M3</f>
        <v>14.634</v>
      </c>
      <c r="O3">
        <f t="shared" ref="O3:O21" si="3">N3/0.6</f>
        <v>24.39</v>
      </c>
    </row>
    <row r="4" spans="1:15" x14ac:dyDescent="0.2">
      <c r="A4" t="s">
        <v>16</v>
      </c>
      <c r="B4" t="s">
        <v>17</v>
      </c>
      <c r="C4">
        <v>271</v>
      </c>
      <c r="D4" t="s">
        <v>11</v>
      </c>
      <c r="E4" t="s">
        <v>12</v>
      </c>
      <c r="F4" t="s">
        <v>13</v>
      </c>
      <c r="G4" s="2">
        <v>1.5</v>
      </c>
      <c r="H4" s="3">
        <v>240</v>
      </c>
      <c r="I4" s="4">
        <v>0.85</v>
      </c>
      <c r="J4">
        <f>C4*'printing costs'!$B$2</f>
        <v>4.8779999999999992</v>
      </c>
      <c r="K4">
        <f>J4+'cover costs'!$B$3</f>
        <v>6.8779999999999992</v>
      </c>
      <c r="L4" s="2">
        <f t="shared" si="0"/>
        <v>8.3780000000000001</v>
      </c>
      <c r="M4">
        <f t="shared" si="1"/>
        <v>2.9322999999999997</v>
      </c>
      <c r="N4">
        <f t="shared" si="2"/>
        <v>11.3103</v>
      </c>
      <c r="O4">
        <f t="shared" si="3"/>
        <v>18.8505</v>
      </c>
    </row>
    <row r="5" spans="1:15" x14ac:dyDescent="0.2">
      <c r="A5" t="s">
        <v>18</v>
      </c>
      <c r="B5" t="s">
        <v>19</v>
      </c>
      <c r="C5">
        <v>364</v>
      </c>
      <c r="D5" t="s">
        <v>11</v>
      </c>
      <c r="E5" t="s">
        <v>12</v>
      </c>
      <c r="F5" t="s">
        <v>13</v>
      </c>
      <c r="G5" s="2">
        <v>1.9</v>
      </c>
      <c r="H5" s="3">
        <v>250</v>
      </c>
      <c r="I5" s="4">
        <v>0.86</v>
      </c>
      <c r="J5">
        <f>C5*'printing costs'!$B$2</f>
        <v>6.5519999999999996</v>
      </c>
      <c r="K5">
        <f>J5+'cover costs'!$B$3</f>
        <v>8.5519999999999996</v>
      </c>
      <c r="L5" s="2">
        <f t="shared" si="0"/>
        <v>10.452</v>
      </c>
      <c r="M5">
        <f t="shared" si="1"/>
        <v>3.6581999999999999</v>
      </c>
      <c r="N5">
        <f t="shared" si="2"/>
        <v>14.110199999999999</v>
      </c>
      <c r="O5">
        <f t="shared" si="3"/>
        <v>23.516999999999999</v>
      </c>
    </row>
    <row r="6" spans="1:15" x14ac:dyDescent="0.2">
      <c r="A6" t="s">
        <v>20</v>
      </c>
      <c r="B6" t="s">
        <v>21</v>
      </c>
      <c r="C6">
        <v>260</v>
      </c>
      <c r="D6" t="s">
        <v>11</v>
      </c>
      <c r="E6" t="s">
        <v>12</v>
      </c>
      <c r="F6" t="s">
        <v>13</v>
      </c>
      <c r="G6" s="2">
        <v>1.4</v>
      </c>
      <c r="H6" s="3">
        <v>230</v>
      </c>
      <c r="I6" s="4">
        <v>0.94</v>
      </c>
      <c r="J6">
        <f>C6*'printing costs'!$B$2</f>
        <v>4.68</v>
      </c>
      <c r="K6">
        <f>J6+'cover costs'!$B$3</f>
        <v>6.68</v>
      </c>
      <c r="L6" s="2">
        <f t="shared" si="0"/>
        <v>8.08</v>
      </c>
      <c r="M6">
        <f t="shared" si="1"/>
        <v>2.8279999999999998</v>
      </c>
      <c r="N6">
        <f t="shared" si="2"/>
        <v>10.907999999999999</v>
      </c>
      <c r="O6">
        <f t="shared" si="3"/>
        <v>18.18</v>
      </c>
    </row>
    <row r="7" spans="1:15" x14ac:dyDescent="0.2">
      <c r="A7" t="s">
        <v>22</v>
      </c>
      <c r="B7" t="s">
        <v>23</v>
      </c>
      <c r="C7">
        <v>132</v>
      </c>
      <c r="D7" t="s">
        <v>11</v>
      </c>
      <c r="E7" t="s">
        <v>12</v>
      </c>
      <c r="F7" t="s">
        <v>13</v>
      </c>
      <c r="G7" s="2">
        <v>0.9</v>
      </c>
      <c r="H7" s="3">
        <v>280</v>
      </c>
      <c r="I7" s="4">
        <v>0.87</v>
      </c>
      <c r="J7">
        <f>C7*'printing costs'!$B$2</f>
        <v>2.3759999999999999</v>
      </c>
      <c r="K7">
        <f>J7+'cover costs'!$B$3</f>
        <v>4.3759999999999994</v>
      </c>
      <c r="L7" s="2">
        <f t="shared" si="0"/>
        <v>5.2759999999999998</v>
      </c>
      <c r="M7">
        <f t="shared" si="1"/>
        <v>1.8465999999999998</v>
      </c>
      <c r="N7">
        <f t="shared" si="2"/>
        <v>7.1225999999999994</v>
      </c>
      <c r="O7">
        <f t="shared" si="3"/>
        <v>11.870999999999999</v>
      </c>
    </row>
    <row r="8" spans="1:15" x14ac:dyDescent="0.2">
      <c r="A8" t="s">
        <v>24</v>
      </c>
      <c r="B8" t="s">
        <v>25</v>
      </c>
      <c r="C8">
        <v>175</v>
      </c>
      <c r="D8" t="s">
        <v>11</v>
      </c>
      <c r="E8" t="s">
        <v>12</v>
      </c>
      <c r="F8" t="s">
        <v>13</v>
      </c>
      <c r="G8" s="2">
        <v>1.1000000000000001</v>
      </c>
      <c r="H8" s="3">
        <v>300</v>
      </c>
      <c r="I8" s="4">
        <v>0.89</v>
      </c>
      <c r="J8">
        <f>C8*'printing costs'!$B$2</f>
        <v>3.15</v>
      </c>
      <c r="K8">
        <f>J8+'cover costs'!$B$3</f>
        <v>5.15</v>
      </c>
      <c r="L8" s="2">
        <f t="shared" si="0"/>
        <v>6.25</v>
      </c>
      <c r="M8">
        <f t="shared" si="1"/>
        <v>2.1875</v>
      </c>
      <c r="N8">
        <f t="shared" si="2"/>
        <v>8.4375</v>
      </c>
      <c r="O8">
        <f t="shared" si="3"/>
        <v>14.0625</v>
      </c>
    </row>
    <row r="9" spans="1:15" x14ac:dyDescent="0.2">
      <c r="A9" t="s">
        <v>26</v>
      </c>
      <c r="B9" t="s">
        <v>27</v>
      </c>
      <c r="C9">
        <v>366</v>
      </c>
      <c r="D9" t="s">
        <v>11</v>
      </c>
      <c r="E9" t="s">
        <v>12</v>
      </c>
      <c r="F9" t="s">
        <v>13</v>
      </c>
      <c r="G9" s="2">
        <v>1.9</v>
      </c>
      <c r="H9" s="3">
        <v>260</v>
      </c>
      <c r="I9" s="4">
        <v>0.89</v>
      </c>
      <c r="J9">
        <f>C9*'printing costs'!$B$2</f>
        <v>6.5879999999999992</v>
      </c>
      <c r="K9">
        <f>J9+'cover costs'!$B$3</f>
        <v>8.5879999999999992</v>
      </c>
      <c r="L9" s="2">
        <f t="shared" si="0"/>
        <v>10.488</v>
      </c>
      <c r="M9">
        <f t="shared" si="1"/>
        <v>3.6707999999999994</v>
      </c>
      <c r="N9">
        <f t="shared" si="2"/>
        <v>14.158799999999999</v>
      </c>
      <c r="O9">
        <f t="shared" si="3"/>
        <v>23.597999999999999</v>
      </c>
    </row>
    <row r="10" spans="1:15" x14ac:dyDescent="0.2">
      <c r="A10" t="s">
        <v>28</v>
      </c>
      <c r="B10" t="s">
        <v>29</v>
      </c>
      <c r="C10">
        <v>468</v>
      </c>
      <c r="D10" t="s">
        <v>11</v>
      </c>
      <c r="E10" t="s">
        <v>12</v>
      </c>
      <c r="F10" t="s">
        <v>13</v>
      </c>
      <c r="G10" s="2">
        <v>2.2999999999999998</v>
      </c>
      <c r="H10" s="3">
        <v>280</v>
      </c>
      <c r="I10" s="4">
        <v>0.84</v>
      </c>
      <c r="J10">
        <f>C10*'printing costs'!$B$2</f>
        <v>8.4239999999999995</v>
      </c>
      <c r="K10">
        <f>J10+'cover costs'!$B$3</f>
        <v>10.423999999999999</v>
      </c>
      <c r="L10" s="2">
        <f t="shared" si="0"/>
        <v>12.724</v>
      </c>
      <c r="M10">
        <f t="shared" si="1"/>
        <v>4.4533999999999994</v>
      </c>
      <c r="N10">
        <f t="shared" si="2"/>
        <v>17.177399999999999</v>
      </c>
      <c r="O10">
        <f t="shared" si="3"/>
        <v>28.628999999999998</v>
      </c>
    </row>
    <row r="11" spans="1:15" x14ac:dyDescent="0.2">
      <c r="A11" t="s">
        <v>30</v>
      </c>
      <c r="B11" t="s">
        <v>31</v>
      </c>
      <c r="C11">
        <v>185</v>
      </c>
      <c r="D11" t="s">
        <v>11</v>
      </c>
      <c r="E11" t="s">
        <v>12</v>
      </c>
      <c r="F11" t="s">
        <v>13</v>
      </c>
      <c r="G11" s="2">
        <v>1.1000000000000001</v>
      </c>
      <c r="H11" s="3">
        <v>220</v>
      </c>
      <c r="I11" s="4">
        <v>0.94</v>
      </c>
      <c r="J11">
        <f>C11*'printing costs'!$B$2</f>
        <v>3.3299999999999996</v>
      </c>
      <c r="K11">
        <f>J11+'cover costs'!$B$3</f>
        <v>5.33</v>
      </c>
      <c r="L11" s="2">
        <f t="shared" si="0"/>
        <v>6.43</v>
      </c>
      <c r="M11">
        <f t="shared" si="1"/>
        <v>2.2504999999999997</v>
      </c>
      <c r="N11">
        <f t="shared" si="2"/>
        <v>8.6804999999999986</v>
      </c>
      <c r="O11">
        <f t="shared" si="3"/>
        <v>14.467499999999998</v>
      </c>
    </row>
    <row r="12" spans="1:15" x14ac:dyDescent="0.2">
      <c r="A12" t="s">
        <v>32</v>
      </c>
      <c r="B12" t="s">
        <v>33</v>
      </c>
      <c r="C12">
        <v>484</v>
      </c>
      <c r="D12" t="s">
        <v>11</v>
      </c>
      <c r="E12" t="s">
        <v>12</v>
      </c>
      <c r="F12" t="s">
        <v>13</v>
      </c>
      <c r="G12" s="2">
        <v>2.4</v>
      </c>
      <c r="H12" s="3">
        <v>210</v>
      </c>
      <c r="I12" s="4">
        <v>0.82</v>
      </c>
      <c r="J12">
        <f>C12*'printing costs'!$B$2</f>
        <v>8.7119999999999997</v>
      </c>
      <c r="K12">
        <f>J12+'cover costs'!$B$3</f>
        <v>10.712</v>
      </c>
      <c r="L12" s="2">
        <f t="shared" si="0"/>
        <v>13.112</v>
      </c>
      <c r="M12">
        <f t="shared" si="1"/>
        <v>4.5891999999999999</v>
      </c>
      <c r="N12">
        <f t="shared" si="2"/>
        <v>17.7012</v>
      </c>
      <c r="O12">
        <f t="shared" si="3"/>
        <v>29.502000000000002</v>
      </c>
    </row>
    <row r="13" spans="1:15" x14ac:dyDescent="0.2">
      <c r="A13" t="s">
        <v>34</v>
      </c>
      <c r="B13" t="s">
        <v>35</v>
      </c>
      <c r="C13">
        <v>428</v>
      </c>
      <c r="D13" t="s">
        <v>11</v>
      </c>
      <c r="E13" t="s">
        <v>12</v>
      </c>
      <c r="F13" t="s">
        <v>13</v>
      </c>
      <c r="G13" s="2">
        <v>2.2000000000000002</v>
      </c>
      <c r="H13" s="3">
        <v>210</v>
      </c>
      <c r="I13" s="4">
        <v>0.83</v>
      </c>
      <c r="J13">
        <f>C13*'printing costs'!$B$2</f>
        <v>7.7039999999999997</v>
      </c>
      <c r="K13">
        <f>J13+'cover costs'!$B$3</f>
        <v>9.7040000000000006</v>
      </c>
      <c r="L13" s="2">
        <f t="shared" si="0"/>
        <v>11.904</v>
      </c>
      <c r="M13">
        <f t="shared" si="1"/>
        <v>4.1663999999999994</v>
      </c>
      <c r="N13">
        <f t="shared" si="2"/>
        <v>16.070399999999999</v>
      </c>
      <c r="O13">
        <f t="shared" si="3"/>
        <v>26.783999999999999</v>
      </c>
    </row>
    <row r="14" spans="1:15" x14ac:dyDescent="0.2">
      <c r="A14" t="s">
        <v>36</v>
      </c>
      <c r="B14" t="s">
        <v>37</v>
      </c>
      <c r="C14">
        <v>333</v>
      </c>
      <c r="D14" t="s">
        <v>11</v>
      </c>
      <c r="E14" t="s">
        <v>12</v>
      </c>
      <c r="F14" t="s">
        <v>13</v>
      </c>
      <c r="G14" s="2">
        <v>1.8</v>
      </c>
      <c r="H14" s="3">
        <v>300</v>
      </c>
      <c r="I14" s="4">
        <v>0.9</v>
      </c>
      <c r="J14">
        <f>C14*'printing costs'!$B$2</f>
        <v>5.9939999999999998</v>
      </c>
      <c r="K14">
        <f>J14+'cover costs'!$B$3</f>
        <v>7.9939999999999998</v>
      </c>
      <c r="L14" s="2">
        <f t="shared" si="0"/>
        <v>9.7940000000000005</v>
      </c>
      <c r="M14">
        <f t="shared" si="1"/>
        <v>3.4279000000000002</v>
      </c>
      <c r="N14">
        <f t="shared" si="2"/>
        <v>13.221900000000002</v>
      </c>
      <c r="O14">
        <f t="shared" si="3"/>
        <v>22.036500000000004</v>
      </c>
    </row>
    <row r="15" spans="1:15" x14ac:dyDescent="0.2">
      <c r="A15" t="s">
        <v>38</v>
      </c>
      <c r="B15" t="s">
        <v>39</v>
      </c>
      <c r="C15">
        <v>192</v>
      </c>
      <c r="D15" t="s">
        <v>11</v>
      </c>
      <c r="E15" t="s">
        <v>12</v>
      </c>
      <c r="F15" t="s">
        <v>13</v>
      </c>
      <c r="G15" s="2">
        <v>1.1000000000000001</v>
      </c>
      <c r="H15" s="3">
        <v>260</v>
      </c>
      <c r="I15" s="4">
        <v>0.83</v>
      </c>
      <c r="J15">
        <f>C15*'printing costs'!$B$2</f>
        <v>3.4559999999999995</v>
      </c>
      <c r="K15">
        <f>J15+'cover costs'!$B$3</f>
        <v>5.4559999999999995</v>
      </c>
      <c r="L15" s="2">
        <f t="shared" si="0"/>
        <v>6.5559999999999992</v>
      </c>
      <c r="M15">
        <f t="shared" si="1"/>
        <v>2.2945999999999995</v>
      </c>
      <c r="N15">
        <f t="shared" si="2"/>
        <v>8.8505999999999982</v>
      </c>
      <c r="O15">
        <f t="shared" si="3"/>
        <v>14.750999999999998</v>
      </c>
    </row>
    <row r="16" spans="1:15" x14ac:dyDescent="0.2">
      <c r="A16" t="s">
        <v>40</v>
      </c>
      <c r="B16" t="s">
        <v>41</v>
      </c>
      <c r="C16">
        <v>318</v>
      </c>
      <c r="D16" t="s">
        <v>11</v>
      </c>
      <c r="E16" t="s">
        <v>12</v>
      </c>
      <c r="F16" t="s">
        <v>13</v>
      </c>
      <c r="G16" s="2">
        <v>1.7</v>
      </c>
      <c r="H16" s="3">
        <v>220</v>
      </c>
      <c r="I16" s="4">
        <v>0.85</v>
      </c>
      <c r="J16">
        <f>C16*'printing costs'!$B$2</f>
        <v>5.7239999999999993</v>
      </c>
      <c r="K16">
        <f>J16+'cover costs'!$B$3</f>
        <v>7.7239999999999993</v>
      </c>
      <c r="L16" s="2">
        <f t="shared" si="0"/>
        <v>9.4239999999999995</v>
      </c>
      <c r="M16">
        <f t="shared" si="1"/>
        <v>3.2983999999999996</v>
      </c>
      <c r="N16">
        <f t="shared" si="2"/>
        <v>12.722399999999999</v>
      </c>
      <c r="O16">
        <f t="shared" si="3"/>
        <v>21.203999999999997</v>
      </c>
    </row>
    <row r="17" spans="1:15" x14ac:dyDescent="0.2">
      <c r="A17" t="s">
        <v>42</v>
      </c>
      <c r="B17" t="s">
        <v>43</v>
      </c>
      <c r="C17">
        <v>118</v>
      </c>
      <c r="D17" t="s">
        <v>11</v>
      </c>
      <c r="E17" t="s">
        <v>12</v>
      </c>
      <c r="F17" t="s">
        <v>13</v>
      </c>
      <c r="G17" s="2">
        <v>0.8</v>
      </c>
      <c r="H17" s="3">
        <v>250</v>
      </c>
      <c r="I17" s="4">
        <v>0.84</v>
      </c>
      <c r="J17">
        <f>C17*'printing costs'!$B$2</f>
        <v>2.1239999999999997</v>
      </c>
      <c r="K17">
        <f>J17+'cover costs'!$B$3</f>
        <v>4.1239999999999997</v>
      </c>
      <c r="L17" s="2">
        <f t="shared" si="0"/>
        <v>4.9239999999999995</v>
      </c>
      <c r="M17">
        <f t="shared" si="1"/>
        <v>1.7233999999999998</v>
      </c>
      <c r="N17">
        <f t="shared" si="2"/>
        <v>6.6473999999999993</v>
      </c>
      <c r="O17">
        <f t="shared" si="3"/>
        <v>11.078999999999999</v>
      </c>
    </row>
    <row r="18" spans="1:15" x14ac:dyDescent="0.2">
      <c r="A18" t="s">
        <v>44</v>
      </c>
      <c r="B18" t="s">
        <v>45</v>
      </c>
      <c r="C18">
        <v>236</v>
      </c>
      <c r="D18" t="s">
        <v>11</v>
      </c>
      <c r="E18" t="s">
        <v>12</v>
      </c>
      <c r="F18" t="s">
        <v>13</v>
      </c>
      <c r="G18" s="2">
        <v>1.3</v>
      </c>
      <c r="H18" s="3">
        <v>220</v>
      </c>
      <c r="I18" s="4">
        <v>0.88</v>
      </c>
      <c r="J18">
        <f>C18*'printing costs'!$B$2</f>
        <v>4.2479999999999993</v>
      </c>
      <c r="K18">
        <f>J18+'cover costs'!$B$3</f>
        <v>6.2479999999999993</v>
      </c>
      <c r="L18" s="2">
        <f t="shared" si="0"/>
        <v>7.5479999999999992</v>
      </c>
      <c r="M18">
        <f t="shared" si="1"/>
        <v>2.6417999999999995</v>
      </c>
      <c r="N18">
        <f t="shared" si="2"/>
        <v>10.189799999999998</v>
      </c>
      <c r="O18">
        <f t="shared" si="3"/>
        <v>16.982999999999997</v>
      </c>
    </row>
    <row r="19" spans="1:15" x14ac:dyDescent="0.2">
      <c r="A19" t="s">
        <v>46</v>
      </c>
      <c r="B19" t="s">
        <v>47</v>
      </c>
      <c r="C19">
        <v>371</v>
      </c>
      <c r="D19" t="s">
        <v>11</v>
      </c>
      <c r="E19" t="s">
        <v>12</v>
      </c>
      <c r="F19" t="s">
        <v>13</v>
      </c>
      <c r="G19" s="2">
        <v>1.9</v>
      </c>
      <c r="H19" s="3">
        <v>210</v>
      </c>
      <c r="I19" s="4">
        <v>0.89</v>
      </c>
      <c r="J19">
        <f>C19*'printing costs'!$B$2</f>
        <v>6.6779999999999999</v>
      </c>
      <c r="K19">
        <f>J19+'cover costs'!$B$3</f>
        <v>8.6780000000000008</v>
      </c>
      <c r="L19" s="2">
        <f t="shared" si="0"/>
        <v>10.578000000000001</v>
      </c>
      <c r="M19">
        <f t="shared" si="1"/>
        <v>3.7023000000000001</v>
      </c>
      <c r="N19">
        <f t="shared" si="2"/>
        <v>14.2803</v>
      </c>
      <c r="O19">
        <f t="shared" si="3"/>
        <v>23.800500000000003</v>
      </c>
    </row>
    <row r="20" spans="1:15" x14ac:dyDescent="0.2">
      <c r="A20" t="s">
        <v>48</v>
      </c>
      <c r="B20" t="s">
        <v>49</v>
      </c>
      <c r="C20">
        <v>445</v>
      </c>
      <c r="D20" t="s">
        <v>11</v>
      </c>
      <c r="E20" t="s">
        <v>12</v>
      </c>
      <c r="F20" t="s">
        <v>13</v>
      </c>
      <c r="G20" s="2">
        <v>2.2000000000000002</v>
      </c>
      <c r="H20" s="3">
        <v>250</v>
      </c>
      <c r="I20" s="4">
        <v>0.84</v>
      </c>
      <c r="J20">
        <f>C20*'printing costs'!$B$2</f>
        <v>8.01</v>
      </c>
      <c r="K20">
        <f>J20+'cover costs'!$B$3</f>
        <v>10.01</v>
      </c>
      <c r="L20" s="2">
        <f t="shared" si="0"/>
        <v>12.21</v>
      </c>
      <c r="M20">
        <f t="shared" si="1"/>
        <v>4.2735000000000003</v>
      </c>
      <c r="N20">
        <f t="shared" si="2"/>
        <v>16.483499999999999</v>
      </c>
      <c r="O20">
        <f t="shared" si="3"/>
        <v>27.4725</v>
      </c>
    </row>
    <row r="21" spans="1:15" x14ac:dyDescent="0.2">
      <c r="A21" t="s">
        <v>50</v>
      </c>
      <c r="B21" t="s">
        <v>51</v>
      </c>
      <c r="C21">
        <v>283</v>
      </c>
      <c r="D21" t="s">
        <v>11</v>
      </c>
      <c r="E21" t="s">
        <v>12</v>
      </c>
      <c r="F21" t="s">
        <v>13</v>
      </c>
      <c r="G21" s="2">
        <v>1.5</v>
      </c>
      <c r="H21" s="3">
        <v>310</v>
      </c>
      <c r="I21" s="4">
        <v>0.86</v>
      </c>
      <c r="J21">
        <f>C21*'printing costs'!$B$2</f>
        <v>5.0939999999999994</v>
      </c>
      <c r="K21">
        <f>J21+'cover costs'!$B$3</f>
        <v>7.0939999999999994</v>
      </c>
      <c r="L21" s="2">
        <f t="shared" si="0"/>
        <v>8.5939999999999994</v>
      </c>
      <c r="M21">
        <f t="shared" si="1"/>
        <v>3.0078999999999998</v>
      </c>
      <c r="N21">
        <f t="shared" si="2"/>
        <v>11.601899999999999</v>
      </c>
      <c r="O21">
        <f t="shared" si="3"/>
        <v>19.336499999999997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zoomScaleNormal="100" workbookViewId="0">
      <selection activeCell="J2" sqref="J2"/>
    </sheetView>
  </sheetViews>
  <sheetFormatPr baseColWidth="10" defaultColWidth="8.6640625" defaultRowHeight="15" x14ac:dyDescent="0.2"/>
  <cols>
    <col min="1" max="1" width="17.5" customWidth="1"/>
    <col min="2" max="2" width="25.1640625" customWidth="1"/>
    <col min="3" max="3" width="23.5" customWidth="1"/>
  </cols>
  <sheetData>
    <row r="1" spans="1:3" x14ac:dyDescent="0.2">
      <c r="A1" s="1" t="s">
        <v>52</v>
      </c>
      <c r="B1" s="1" t="s">
        <v>53</v>
      </c>
      <c r="C1" s="1" t="s">
        <v>54</v>
      </c>
    </row>
    <row r="2" spans="1:3" x14ac:dyDescent="0.2">
      <c r="A2">
        <v>70</v>
      </c>
      <c r="B2">
        <v>1.7999999999999999E-2</v>
      </c>
      <c r="C2">
        <v>3.7999999999999999E-2</v>
      </c>
    </row>
    <row r="3" spans="1:3" x14ac:dyDescent="0.2">
      <c r="A3">
        <v>80</v>
      </c>
      <c r="B3">
        <v>2.5000000000000001E-2</v>
      </c>
      <c r="C3">
        <v>4.4999999999999998E-2</v>
      </c>
    </row>
    <row r="4" spans="1:3" x14ac:dyDescent="0.2">
      <c r="A4">
        <v>90</v>
      </c>
      <c r="B4">
        <v>2.75E-2</v>
      </c>
      <c r="C4">
        <v>4.7500000000000001E-2</v>
      </c>
    </row>
    <row r="5" spans="1:3" x14ac:dyDescent="0.2">
      <c r="A5">
        <v>100</v>
      </c>
      <c r="B5">
        <v>0.03</v>
      </c>
      <c r="C5">
        <v>0.05</v>
      </c>
    </row>
    <row r="6" spans="1:3" x14ac:dyDescent="0.2">
      <c r="A6">
        <v>250</v>
      </c>
      <c r="B6">
        <v>3.5000000000000003E-2</v>
      </c>
      <c r="C6">
        <v>5.5E-2</v>
      </c>
    </row>
    <row r="7" spans="1:3" x14ac:dyDescent="0.2">
      <c r="A7">
        <v>300</v>
      </c>
      <c r="B7">
        <v>3.5000000000000003E-2</v>
      </c>
      <c r="C7">
        <v>5.5E-2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zoomScaleNormal="100" workbookViewId="0">
      <selection activeCell="B3" sqref="B3"/>
    </sheetView>
  </sheetViews>
  <sheetFormatPr baseColWidth="10" defaultColWidth="8.6640625" defaultRowHeight="15" x14ac:dyDescent="0.2"/>
  <sheetData>
    <row r="1" spans="1:2" x14ac:dyDescent="0.2">
      <c r="A1" s="5" t="s">
        <v>55</v>
      </c>
      <c r="B1" s="5" t="s">
        <v>56</v>
      </c>
    </row>
    <row r="2" spans="1:2" x14ac:dyDescent="0.2">
      <c r="A2" t="s">
        <v>57</v>
      </c>
      <c r="B2">
        <v>3</v>
      </c>
    </row>
    <row r="3" spans="1:2" x14ac:dyDescent="0.2">
      <c r="A3" t="s">
        <v>12</v>
      </c>
      <c r="B3">
        <v>2</v>
      </c>
    </row>
    <row r="5" spans="1:2" x14ac:dyDescent="0.2">
      <c r="A5" t="s">
        <v>58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 data</vt:lpstr>
      <vt:lpstr>printing costs</vt:lpstr>
      <vt:lpstr>cover 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Ali Lara</cp:lastModifiedBy>
  <cp:revision>1</cp:revision>
  <dcterms:created xsi:type="dcterms:W3CDTF">2021-07-26T21:43:53Z</dcterms:created>
  <dcterms:modified xsi:type="dcterms:W3CDTF">2022-04-07T20:54:23Z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